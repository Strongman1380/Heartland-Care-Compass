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 Distribution of Individu" sheetId="2" r:id="rId6"/>
    <sheet state="visible" name="Chart1 Breakdown of Families Se" sheetId="3" r:id="rId7"/>
  </sheets>
  <definedNames/>
  <calcPr/>
</workbook>
</file>

<file path=xl/sharedStrings.xml><?xml version="1.0" encoding="utf-8"?>
<sst xmlns="http://schemas.openxmlformats.org/spreadsheetml/2006/main" count="84" uniqueCount="43">
  <si>
    <t>Category</t>
  </si>
  <si>
    <t>Field</t>
  </si>
  <si>
    <t>Count</t>
  </si>
  <si>
    <t>Percentage of Total Served</t>
  </si>
  <si>
    <t>Logic / Verification</t>
  </si>
  <si>
    <t>Compliance Check</t>
  </si>
  <si>
    <t>OVERALL</t>
  </si>
  <si>
    <t>Total Individuals Served</t>
  </si>
  <si>
    <t>(150 Children + 153 Adults)</t>
  </si>
  <si>
    <t>CHILDREN</t>
  </si>
  <si>
    <t>Total Children Served</t>
  </si>
  <si>
    <t>Sum of all child subgroups</t>
  </si>
  <si>
    <t>Female Children 0-5</t>
  </si>
  <si>
    <t>Female Children 6-12</t>
  </si>
  <si>
    <t>Female Children 13-19</t>
  </si>
  <si>
    <t>(Subtotal Female: 81)</t>
  </si>
  <si>
    <t>Male Children 0-5</t>
  </si>
  <si>
    <t>Male Children 6-12</t>
  </si>
  <si>
    <t>Male Children 13-19</t>
  </si>
  <si>
    <t>(Subtotal Male: 69)</t>
  </si>
  <si>
    <t>ADULTS</t>
  </si>
  <si>
    <t>Total Adults Served</t>
  </si>
  <si>
    <t>Sum of all adult subgroups</t>
  </si>
  <si>
    <t>Women 19+</t>
  </si>
  <si>
    <t>Men 19+</t>
  </si>
  <si>
    <t>(153 Total - 77 Women)</t>
  </si>
  <si>
    <t>FAMILIES</t>
  </si>
  <si>
    <t>Total Families</t>
  </si>
  <si>
    <t>N/A</t>
  </si>
  <si>
    <t>Sum of all family types</t>
  </si>
  <si>
    <t>Single Mother Head of Household</t>
  </si>
  <si>
    <t>Single Father Head of Household</t>
  </si>
  <si>
    <t>Two-Parent Households</t>
  </si>
  <si>
    <t>(59 Total - 29 - 10)</t>
  </si>
  <si>
    <t>POVERTY</t>
  </si>
  <si>
    <t>Children Below Poverty</t>
  </si>
  <si>
    <t>(Capped at 100% of Total Children)</t>
  </si>
  <si>
    <t>Adults Below Poverty</t>
  </si>
  <si>
    <t>(Valid: 151/153 Adults)</t>
  </si>
  <si>
    <t>Families Below Poverty</t>
  </si>
  <si>
    <t>(Capped at 100% of Total Families)</t>
  </si>
  <si>
    <t>Moms with children under 5</t>
  </si>
  <si>
    <t>(Subset of Women 19+)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</si>
</sst>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Distribution of Individ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Breakdown of Families 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Individuals Served (Children vs. Adults)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'Chart1 Distribution of Individu'!$B$3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'Chart1 Distribution of Individu'!$A$4:$A$5</c:f>
            </c:strRef>
          </c:cat>
          <c:val>
            <c:numRef>
              <c:f>'Chart1 Distribution of Individu'!$B$4:$B$5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Breakdown of Families Served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Breakdown of Families Se'!$B$3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Breakdown of Families Se'!$A$4:$A$6</c:f>
            </c:strRef>
          </c:cat>
          <c:val>
            <c:numRef>
              <c:f>'Chart1 Breakdown of Families Se'!$B$4:$B$6</c:f>
              <c:numCache/>
            </c:numRef>
          </c:val>
        </c:ser>
        <c:ser>
          <c:idx val="1"/>
          <c:order val="1"/>
          <c:tx>
            <c:strRef>
              <c:f>'Chart1 Breakdown of Families Se'!$C$3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Breakdown of Families Se'!$A$4:$A$6</c:f>
            </c:strRef>
          </c:cat>
          <c:val>
            <c:numRef>
              <c:f>'Chart1 Breakdown of Families Se'!$C$4:$C$6</c:f>
              <c:numCache/>
            </c:numRef>
          </c:val>
        </c:ser>
        <c:ser>
          <c:idx val="2"/>
          <c:order val="2"/>
          <c:tx>
            <c:strRef>
              <c:f>'Chart1 Breakdown of Families Se'!$D$3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Breakdown of Families Se'!$A$4:$A$6</c:f>
            </c:strRef>
          </c:cat>
          <c:val>
            <c:numRef>
              <c:f>'Chart1 Breakdown of Families Se'!$D$4:$D$6</c:f>
              <c:numCache/>
            </c:numRef>
          </c:val>
        </c:ser>
        <c:overlap val="100"/>
        <c:axId val="22164854"/>
        <c:axId val="1941129318"/>
      </c:barChart>
      <c:catAx>
        <c:axId val="22164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Family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129318"/>
      </c:catAx>
      <c:valAx>
        <c:axId val="1941129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648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0" displayName="Table1" name="Table1" id="1">
  <tableColumns count="6">
    <tableColumn name="Category" id="1"/>
    <tableColumn name="Field" id="2"/>
    <tableColumn name="Count" id="3"/>
    <tableColumn name="Percentage of Total Served" id="4"/>
    <tableColumn name="Logic / Verification" id="5"/>
    <tableColumn name="Compliance Check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3:B5" displayName="Distribution_of_Individuals_Served_Children_vs._Adults_" name="Distribution_of_Individuals_Served_Children_vs._Adults_" id="2">
  <tableColumns count="2">
    <tableColumn name="Field" id="1"/>
    <tableColumn name="Count" id="2"/>
  </tableColumns>
  <tableStyleInfo name="Chart1 Distribution of Individu-style" showColumnStripes="0" showFirstColumn="1" showLastColumn="1" showRowStripes="1"/>
</table>
</file>

<file path=xl/tables/table3.xml><?xml version="1.0" encoding="utf-8"?>
<table xmlns="http://schemas.openxmlformats.org/spreadsheetml/2006/main" ref="A3:D6" displayName="Breakdown_of_Families_Served" name="Breakdown_of_Families_Served" id="3">
  <tableColumns count="4">
    <tableColumn name="Field" id="1"/>
    <tableColumn name="Single Mother Head of Household" id="2"/>
    <tableColumn name="Single Father Head of Household" id="3"/>
    <tableColumn name="Two-Parent Households" id="4"/>
  </tableColumns>
  <tableStyleInfo name="Chart1 Breakdown of Families 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1.75"/>
    <col customWidth="1" min="3" max="3" width="12.5"/>
    <col customWidth="1" min="4" max="5" width="31.75"/>
    <col customWidth="1" min="6" max="6" width="23.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ht="22.5" customHeight="1">
      <c r="A2" s="5" t="s">
        <v>6</v>
      </c>
      <c r="B2" s="6" t="s">
        <v>7</v>
      </c>
      <c r="C2" s="7">
        <v>303.0</v>
      </c>
      <c r="D2" s="8">
        <v>1.0</v>
      </c>
      <c r="E2" s="6" t="s">
        <v>8</v>
      </c>
      <c r="F2" s="9" t="b">
        <v>1</v>
      </c>
    </row>
    <row r="3" ht="22.5" customHeight="1">
      <c r="A3" s="5" t="s">
        <v>9</v>
      </c>
      <c r="B3" s="6" t="s">
        <v>10</v>
      </c>
      <c r="C3" s="7">
        <v>150.0</v>
      </c>
      <c r="D3" s="10">
        <v>0.495</v>
      </c>
      <c r="E3" s="6" t="s">
        <v>11</v>
      </c>
      <c r="F3" s="9" t="b">
        <v>1</v>
      </c>
    </row>
    <row r="4" ht="22.5" customHeight="1">
      <c r="A4" s="5" t="s">
        <v>9</v>
      </c>
      <c r="B4" s="6" t="s">
        <v>12</v>
      </c>
      <c r="C4" s="7">
        <v>25.0</v>
      </c>
      <c r="D4" s="10">
        <v>0.0825</v>
      </c>
      <c r="E4" s="6"/>
      <c r="F4" s="9" t="b">
        <v>1</v>
      </c>
    </row>
    <row r="5" ht="22.5" customHeight="1">
      <c r="A5" s="5" t="s">
        <v>9</v>
      </c>
      <c r="B5" s="6" t="s">
        <v>13</v>
      </c>
      <c r="C5" s="7">
        <v>35.0</v>
      </c>
      <c r="D5" s="10">
        <v>0.1155</v>
      </c>
      <c r="E5" s="6"/>
      <c r="F5" s="9" t="b">
        <v>1</v>
      </c>
    </row>
    <row r="6" ht="22.5" customHeight="1">
      <c r="A6" s="5" t="s">
        <v>9</v>
      </c>
      <c r="B6" s="6" t="s">
        <v>14</v>
      </c>
      <c r="C6" s="7">
        <v>21.0</v>
      </c>
      <c r="D6" s="10">
        <v>0.0693</v>
      </c>
      <c r="E6" s="6" t="s">
        <v>15</v>
      </c>
      <c r="F6" s="9" t="b">
        <v>1</v>
      </c>
    </row>
    <row r="7" ht="22.5" customHeight="1">
      <c r="A7" s="5" t="s">
        <v>9</v>
      </c>
      <c r="B7" s="6" t="s">
        <v>16</v>
      </c>
      <c r="C7" s="7">
        <v>25.0</v>
      </c>
      <c r="D7" s="10">
        <v>0.0825</v>
      </c>
      <c r="E7" s="6"/>
      <c r="F7" s="9" t="b">
        <v>1</v>
      </c>
    </row>
    <row r="8" ht="22.5" customHeight="1">
      <c r="A8" s="5" t="s">
        <v>9</v>
      </c>
      <c r="B8" s="6" t="s">
        <v>17</v>
      </c>
      <c r="C8" s="7">
        <v>33.0</v>
      </c>
      <c r="D8" s="10">
        <v>0.1089</v>
      </c>
      <c r="E8" s="6"/>
      <c r="F8" s="9" t="b">
        <v>1</v>
      </c>
    </row>
    <row r="9" ht="22.5" customHeight="1">
      <c r="A9" s="5" t="s">
        <v>9</v>
      </c>
      <c r="B9" s="6" t="s">
        <v>18</v>
      </c>
      <c r="C9" s="7">
        <v>11.0</v>
      </c>
      <c r="D9" s="10">
        <v>0.0363</v>
      </c>
      <c r="E9" s="6" t="s">
        <v>19</v>
      </c>
      <c r="F9" s="9" t="b">
        <v>1</v>
      </c>
    </row>
    <row r="10" ht="22.5" customHeight="1">
      <c r="A10" s="5" t="s">
        <v>20</v>
      </c>
      <c r="B10" s="6" t="s">
        <v>21</v>
      </c>
      <c r="C10" s="7">
        <v>153.0</v>
      </c>
      <c r="D10" s="10">
        <v>0.505</v>
      </c>
      <c r="E10" s="6" t="s">
        <v>22</v>
      </c>
      <c r="F10" s="9" t="b">
        <v>1</v>
      </c>
    </row>
    <row r="11" ht="22.5" customHeight="1">
      <c r="A11" s="5" t="s">
        <v>20</v>
      </c>
      <c r="B11" s="6" t="s">
        <v>23</v>
      </c>
      <c r="C11" s="7">
        <v>77.0</v>
      </c>
      <c r="D11" s="10">
        <v>0.2541</v>
      </c>
      <c r="E11" s="6"/>
      <c r="F11" s="9" t="b">
        <v>1</v>
      </c>
    </row>
    <row r="12" ht="22.5" customHeight="1">
      <c r="A12" s="5" t="s">
        <v>20</v>
      </c>
      <c r="B12" s="6" t="s">
        <v>24</v>
      </c>
      <c r="C12" s="7">
        <v>76.0</v>
      </c>
      <c r="D12" s="10">
        <v>0.2508</v>
      </c>
      <c r="E12" s="6" t="s">
        <v>25</v>
      </c>
      <c r="F12" s="9" t="b">
        <v>1</v>
      </c>
    </row>
    <row r="13" ht="22.5" customHeight="1">
      <c r="A13" s="5" t="s">
        <v>26</v>
      </c>
      <c r="B13" s="6" t="s">
        <v>27</v>
      </c>
      <c r="C13" s="7">
        <v>59.0</v>
      </c>
      <c r="D13" s="6" t="s">
        <v>28</v>
      </c>
      <c r="E13" s="6" t="s">
        <v>29</v>
      </c>
      <c r="F13" s="9" t="b">
        <v>1</v>
      </c>
    </row>
    <row r="14" ht="22.5" customHeight="1">
      <c r="A14" s="5" t="s">
        <v>26</v>
      </c>
      <c r="B14" s="6" t="s">
        <v>30</v>
      </c>
      <c r="C14" s="7">
        <v>29.0</v>
      </c>
      <c r="D14" s="6" t="s">
        <v>28</v>
      </c>
      <c r="E14" s="6"/>
      <c r="F14" s="9" t="b">
        <v>1</v>
      </c>
    </row>
    <row r="15" ht="22.5" customHeight="1">
      <c r="A15" s="5" t="s">
        <v>26</v>
      </c>
      <c r="B15" s="6" t="s">
        <v>31</v>
      </c>
      <c r="C15" s="7">
        <v>10.0</v>
      </c>
      <c r="D15" s="6" t="s">
        <v>28</v>
      </c>
      <c r="E15" s="6"/>
      <c r="F15" s="9" t="b">
        <v>1</v>
      </c>
    </row>
    <row r="16" ht="22.5" customHeight="1">
      <c r="A16" s="5" t="s">
        <v>26</v>
      </c>
      <c r="B16" s="6" t="s">
        <v>32</v>
      </c>
      <c r="C16" s="7">
        <v>20.0</v>
      </c>
      <c r="D16" s="6" t="s">
        <v>28</v>
      </c>
      <c r="E16" s="6" t="s">
        <v>33</v>
      </c>
      <c r="F16" s="9" t="b">
        <v>1</v>
      </c>
    </row>
    <row r="17" ht="22.5" customHeight="1">
      <c r="A17" s="5" t="s">
        <v>34</v>
      </c>
      <c r="B17" s="6" t="s">
        <v>35</v>
      </c>
      <c r="C17" s="7">
        <v>150.0</v>
      </c>
      <c r="D17" s="6" t="s">
        <v>28</v>
      </c>
      <c r="E17" s="6" t="s">
        <v>36</v>
      </c>
      <c r="F17" s="9" t="b">
        <v>1</v>
      </c>
    </row>
    <row r="18" ht="22.5" customHeight="1">
      <c r="A18" s="5" t="s">
        <v>34</v>
      </c>
      <c r="B18" s="6" t="s">
        <v>37</v>
      </c>
      <c r="C18" s="7">
        <v>151.0</v>
      </c>
      <c r="D18" s="6" t="s">
        <v>28</v>
      </c>
      <c r="E18" s="6" t="s">
        <v>38</v>
      </c>
      <c r="F18" s="9" t="b">
        <v>1</v>
      </c>
    </row>
    <row r="19" ht="22.5" customHeight="1">
      <c r="A19" s="5" t="s">
        <v>34</v>
      </c>
      <c r="B19" s="6" t="s">
        <v>39</v>
      </c>
      <c r="C19" s="7">
        <v>59.0</v>
      </c>
      <c r="D19" s="6" t="s">
        <v>28</v>
      </c>
      <c r="E19" s="6" t="s">
        <v>40</v>
      </c>
      <c r="F19" s="9" t="b">
        <v>1</v>
      </c>
    </row>
    <row r="20" ht="22.5" customHeight="1">
      <c r="A20" s="5" t="s">
        <v>34</v>
      </c>
      <c r="B20" s="6" t="s">
        <v>41</v>
      </c>
      <c r="C20" s="7">
        <v>39.0</v>
      </c>
      <c r="D20" s="6" t="s">
        <v>28</v>
      </c>
      <c r="E20" s="6" t="s">
        <v>42</v>
      </c>
      <c r="F20" s="9" t="b">
        <v>1</v>
      </c>
    </row>
    <row r="21">
      <c r="A21" s="11" t="s">
        <v>34</v>
      </c>
      <c r="B21" s="11" t="s">
        <v>35</v>
      </c>
      <c r="C21" s="11">
        <v>150.0</v>
      </c>
      <c r="D21" s="12" t="s">
        <v>36</v>
      </c>
    </row>
    <row r="22">
      <c r="A22" s="13"/>
      <c r="B22" s="11" t="s">
        <v>37</v>
      </c>
      <c r="C22" s="11">
        <v>153.0</v>
      </c>
      <c r="D22" s="12" t="s">
        <v>38</v>
      </c>
    </row>
    <row r="23">
      <c r="A23" s="13"/>
      <c r="B23" s="11" t="s">
        <v>39</v>
      </c>
      <c r="C23" s="11">
        <v>59.0</v>
      </c>
      <c r="D23" s="12" t="s">
        <v>40</v>
      </c>
    </row>
    <row r="24">
      <c r="A24" s="13"/>
      <c r="B24" s="11" t="s">
        <v>41</v>
      </c>
      <c r="C24" s="12">
        <v>39.0</v>
      </c>
      <c r="D24" s="12" t="s">
        <v>42</v>
      </c>
    </row>
  </sheetData>
  <dataValidations>
    <dataValidation type="list" allowBlank="1" sqref="A2:A20">
      <formula1>"OVERALL,CHILDREN,CHILDREN,CHILDREN,CHILDREN,CHILDREN,CHILDREN,CHILDREN,ADULTS,ADULTS,ADULTS,FAMILIES,FAMILIES,FAMILIES,FAMILIES,POVERTY,POVERTY,POVERTY,POVERTY"</formula1>
    </dataValidation>
    <dataValidation type="custom" allowBlank="1" showDropDown="1" sqref="C2:C2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2.63"/>
  </cols>
  <sheetData>
    <row r="1" ht="225.0" customHeight="1"/>
    <row r="3" ht="22.5" customHeight="1">
      <c r="A3" s="4" t="s">
        <v>1</v>
      </c>
      <c r="B3" s="4" t="s">
        <v>2</v>
      </c>
    </row>
    <row r="4" ht="22.5" customHeight="1">
      <c r="A4" s="14" t="s">
        <v>21</v>
      </c>
      <c r="B4" s="7">
        <v>153.0</v>
      </c>
    </row>
    <row r="5" ht="22.5" customHeight="1">
      <c r="A5" s="14" t="s">
        <v>10</v>
      </c>
      <c r="B5" s="7">
        <v>150.0</v>
      </c>
    </row>
  </sheetData>
  <dataValidations>
    <dataValidation type="custom" allowBlank="1" showDropDown="1" sqref="B4:B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9.13"/>
    <col customWidth="1" min="3" max="3" width="15.25"/>
    <col customWidth="1" min="4" max="4" width="18.5"/>
  </cols>
  <sheetData>
    <row r="1" ht="225.0" customHeight="1"/>
    <row r="3" ht="22.5" customHeight="1">
      <c r="A3" s="4" t="s">
        <v>1</v>
      </c>
      <c r="B3" s="4" t="s">
        <v>30</v>
      </c>
      <c r="C3" s="4" t="s">
        <v>31</v>
      </c>
      <c r="D3" s="4" t="s">
        <v>32</v>
      </c>
    </row>
    <row r="4" ht="22.5" customHeight="1">
      <c r="A4" s="14" t="s">
        <v>31</v>
      </c>
      <c r="B4" s="14"/>
      <c r="C4" s="7">
        <v>10.0</v>
      </c>
      <c r="D4" s="14"/>
    </row>
    <row r="5" ht="22.5" customHeight="1">
      <c r="A5" s="14" t="s">
        <v>30</v>
      </c>
      <c r="B5" s="7">
        <v>29.0</v>
      </c>
      <c r="C5" s="14"/>
      <c r="D5" s="14"/>
    </row>
    <row r="6" ht="22.5" customHeight="1">
      <c r="A6" s="14" t="s">
        <v>32</v>
      </c>
      <c r="B6" s="14"/>
      <c r="C6" s="14"/>
      <c r="D6" s="7">
        <v>20.0</v>
      </c>
    </row>
  </sheetData>
  <dataValidations>
    <dataValidation type="custom" allowBlank="1" showDropDown="1" sqref="B4:D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